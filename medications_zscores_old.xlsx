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mosselmans\Documents\"/>
    </mc:Choice>
  </mc:AlternateContent>
  <xr:revisionPtr revIDLastSave="0" documentId="8_{415ED62A-208C-41AC-9DD7-680E55D591BB}" xr6:coauthVersionLast="45" xr6:coauthVersionMax="45" xr10:uidLastSave="{00000000-0000-0000-0000-000000000000}"/>
  <bookViews>
    <workbookView xWindow="-110" yWindow="-110" windowWidth="19420" windowHeight="104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<sst xmlns="http://schemas.openxmlformats.org/spreadsheetml/2006/main" count="441" uniqueCount="215">
  <si>
    <t>type</t>
  </si>
  <si>
    <t>name</t>
  </si>
  <si>
    <t>calculation</t>
  </si>
  <si>
    <t>category</t>
  </si>
  <si>
    <t>calculate</t>
  </si>
  <si>
    <t>days_fup</t>
  </si>
  <si>
    <t>min(${fup_pneumonia}, ${fup_conjunctivitis_bacterial})</t>
  </si>
  <si>
    <t>yi</t>
  </si>
  <si>
    <t>ds_ALu</t>
  </si>
  <si>
    <t>round(${p_weight},1)</t>
  </si>
  <si>
    <t>if(${p_weight}&lt;5,0.5,if(${p_weight}&lt;14,1,2))</t>
  </si>
  <si>
    <t>ped</t>
  </si>
  <si>
    <t>ds_amoxiclavsyr400</t>
  </si>
  <si>
    <t>round(40 div 400 * 5 *${p_weight},1)</t>
  </si>
  <si>
    <t>ds_amoxiclavsyr500</t>
  </si>
  <si>
    <t>round(40 div 500 * 5 *${p_weight},1)</t>
  </si>
  <si>
    <t>ds_amoxiclavtab200</t>
  </si>
  <si>
    <t>if(${p_weight}&lt;5,1,if(${p_weight}&lt;8,'1 1/2',if(${p_weight}&lt;10,'2',if(${p_weight}&lt;12,'2 1/2',if(${p_weight}&lt;15,'3',if(${p_weight}&lt;18,'3 1/2',if(${p_weight}&lt;21,'4',5)))))))</t>
  </si>
  <si>
    <t>ds_amoxiclavtab500</t>
  </si>
  <si>
    <t>if(${p_weight}&lt;5,'1/4',if(${p_weight}&lt;8,'1/2',if(${p_weight}&lt;10,'1/2',if(${p_weight}&lt;12,'1',if(${p_weight}&lt;15,'1',if(${p_weight}&lt;18,'1 1/2',if(${p_weight}&lt;21,'1 1/2',2)))))))</t>
  </si>
  <si>
    <t>ds_amoxiclavtab875</t>
  </si>
  <si>
    <t>if(${p_weight}&lt;5,'',if(${p_weight}&lt;8,'1/4',if(${p_weight}&lt;10,'1/4',if(${p_weight}&lt;12,'1/2',if(${p_weight}&lt;15,'1/2',if(${p_weight}&lt;18,'3/4',if(${p_weight}&lt;21,'3/4','1')))))))</t>
  </si>
  <si>
    <t>ds_amoxisyr</t>
  </si>
  <si>
    <t>round(50 div 125 * 5 *${p_weight},1)</t>
  </si>
  <si>
    <t>round(40 div 125 * 5 *${p_weight},1)</t>
  </si>
  <si>
    <t>ds_amoxitab250</t>
  </si>
  <si>
    <t>if(${p_weight}&lt;1.5,'0',if(${p_weight}&lt;4,'1/2',if(${p_weight}&lt;6,'1','0')))</t>
  </si>
  <si>
    <t>if(${p_weight}&lt;5,'0',if(${p_weight}&lt;10,1,if(${p_weight}&lt;14,2,3)))</t>
  </si>
  <si>
    <t>ds_amoxitab500</t>
  </si>
  <si>
    <t>if(${p_weight}&lt;5,'',if(${p_weight}&lt;10,0.5,if(${p_weight}&lt;14,1,1.5)))</t>
  </si>
  <si>
    <t>ds_ampicillin</t>
  </si>
  <si>
    <t>round(50 div 250*${p_weight},1)</t>
  </si>
  <si>
    <t>ped, yi</t>
  </si>
  <si>
    <t>ds_artesunate</t>
  </si>
  <si>
    <t>round(3 div 20 *${p_weight},1)</t>
  </si>
  <si>
    <t>if(${p_weight}&gt;=20,round(2.4 div 20 * ${p_weight}),'0')</t>
  </si>
  <si>
    <t>ds_artesunateIV</t>
  </si>
  <si>
    <t>ds_artesunaterectal</t>
  </si>
  <si>
    <t>ds_ASAQ</t>
  </si>
  <si>
    <t>round(0.34 * ${p_weight},1)</t>
  </si>
  <si>
    <t>if(${p_weight}&lt;5,0.5,1)</t>
  </si>
  <si>
    <t>ds_ASAQ_tablet_type</t>
  </si>
  <si>
    <t>if(${p_weight}&lt;9,'25 mg AS/ 67.5 mg AQ',if(${p_weight}&lt;18,'50 mg AS/ 135 mg AQ','100 mg AS/ 270 mg AQ'))</t>
  </si>
  <si>
    <t>ds_AZT</t>
  </si>
  <si>
    <t>if(${p_age}&lt;=42 and ${p_weight}&gt;2 and ${p_weight}&lt;=2.5,'1',if(${p_age}&lt;=42 and ${p_weight}&gt;2.5,'1.5','6'))</t>
  </si>
  <si>
    <t>ds_azythro</t>
  </si>
  <si>
    <t>round(20 div 200 * 5 *${p_weight},1)</t>
  </si>
  <si>
    <t>ds_azythrosyr</t>
  </si>
  <si>
    <t>round(10 div 125 * 5 *${p_weight},1)</t>
  </si>
  <si>
    <t>ds_azythrosyr_20</t>
  </si>
  <si>
    <t>ds_azythrotab250</t>
  </si>
  <si>
    <t>if(${p_weight}&lt;4,'0',if(${p_weight}&lt;8,'1/2',if(${p_weight}&lt;15,'1',if(${p_weight}&lt;25,'2',''))))</t>
  </si>
  <si>
    <t>ds_azythrotab250_20</t>
  </si>
  <si>
    <t>if(${p_weight}&lt;4,'0',if(${p_weight}&lt;8,'1',if(${p_weight}&lt;15,'2',if(${p_weight}&lt;25,'4',''))))</t>
  </si>
  <si>
    <t>ds_azythrotab500</t>
  </si>
  <si>
    <t>if(${p_weight}&lt;4,'0',if(${p_weight}&lt;8,'1/4',if(${p_weight}&lt;15,'1/2',if(${p_weight}&lt;25,'1',''))))</t>
  </si>
  <si>
    <t>ds_azythrotab500_20</t>
  </si>
  <si>
    <t>ds_cefalexinesyr125</t>
  </si>
  <si>
    <t>round(25 div 125 * 5 *${p_weight},1)</t>
  </si>
  <si>
    <t>yi, ped</t>
  </si>
  <si>
    <t>ds_cefalexinesyr250</t>
  </si>
  <si>
    <t>round(25 div 250 * 5 *${p_weight},1)</t>
  </si>
  <si>
    <t>ds_cefalexinetab</t>
  </si>
  <si>
    <t>if(${p_weight}&lt;4,'0',if(${p_weight}&lt;7,'1/4',if(${p_weight}&lt;10,1,2)))</t>
  </si>
  <si>
    <t>ds_cefiximesyr</t>
  </si>
  <si>
    <t>round(8 div 100 * 5 *${p_weight},1)</t>
  </si>
  <si>
    <t>ds_cefiximetab200</t>
  </si>
  <si>
    <t>if(${p_weight}&lt;4,'0',if(${p_weight}&lt;10,'1/4',if(${p_weight}&lt;14,'1/2','3/4')))</t>
  </si>
  <si>
    <t>ds_ceftriaxone</t>
  </si>
  <si>
    <t>round(100 div 250*${p_weight},1)</t>
  </si>
  <si>
    <t>ds_ceftriaxoneconj</t>
  </si>
  <si>
    <t>if( round(50 div 250*${p_weight},1) &lt; 0.5, round(50 div 250*${p_weight},1), 0.5)</t>
  </si>
  <si>
    <t>ds_ceftriaxoneIV</t>
  </si>
  <si>
    <t>round(100*${p_weight},1)</t>
  </si>
  <si>
    <t>ds_ceftriconj</t>
  </si>
  <si>
    <t>round(50 div 125*${p_weight},1)</t>
  </si>
  <si>
    <t>ds_ciprosusp</t>
  </si>
  <si>
    <t>round(15 div 250 * 5 *${p_weight},1)</t>
  </si>
  <si>
    <t>ds_ciprotab250</t>
  </si>
  <si>
    <t>if(${p_weight}&lt;4,'0',if(${p_weight}&lt;15,0.5,1))</t>
  </si>
  <si>
    <t>ds_ciprotab500</t>
  </si>
  <si>
    <t>if(${p_weight}&lt;12,'0',if(${p_weight}&lt;15,0.25,0.5))</t>
  </si>
  <si>
    <t>ds_dexamethasone</t>
  </si>
  <si>
    <t>round(0.5 div 4*${p_weight},1)</t>
  </si>
  <si>
    <t>ds_diazepam</t>
  </si>
  <si>
    <t>round(0.5*${p_weight},1)</t>
  </si>
  <si>
    <t>ds_erythrosyr</t>
  </si>
  <si>
    <t>ds_erythrotab250</t>
  </si>
  <si>
    <t>if(${p_weight}&lt;5,0.25,if(${p_weight}&lt;10,0.5,if(${p_weight}&lt;25,1,'')))</t>
  </si>
  <si>
    <t>ds_erythrotab500</t>
  </si>
  <si>
    <t>if(${p_weight}&lt;5,'0',if(${p_weight}&lt;10,0.25,if(${p_weight}&lt;25,0.5,'')))</t>
  </si>
  <si>
    <t>ds_fefoltab</t>
  </si>
  <si>
    <t>if(${p_weight}&lt;2,'0',if(${p_weight}&lt;12,'1/2',if(${p_weight}&lt;25,'1','')))</t>
  </si>
  <si>
    <t>ds_ferroussyr</t>
  </si>
  <si>
    <t>if(${p_weight}&lt;2,'0',if(${p_weight}&lt;12,'1/4',if(${p_weight}&lt;25,'1/2','')))</t>
  </si>
  <si>
    <t>ds_genta3</t>
  </si>
  <si>
    <t>round(3 div 40*${p_weight},1)</t>
  </si>
  <si>
    <t>ds_genta5</t>
  </si>
  <si>
    <t>round(5 div 40*${p_weight},1)</t>
  </si>
  <si>
    <t>ds_gentamicin</t>
  </si>
  <si>
    <t>round(7.5 div 40*${p_weight},1)</t>
  </si>
  <si>
    <t>ds_glucose10IV</t>
  </si>
  <si>
    <t>round(2*${p_weight},1)</t>
  </si>
  <si>
    <t>ds_glucose10PO</t>
  </si>
  <si>
    <t>round(10*${p_weight},1)</t>
  </si>
  <si>
    <t>ds_glucose50SL</t>
  </si>
  <si>
    <t>round(1*${p_weight},1)</t>
  </si>
  <si>
    <t>ds_griseosyr</t>
  </si>
  <si>
    <t>round(15 div 125 * 1 * ${p_weight},1)</t>
  </si>
  <si>
    <t>ds_griseotab125</t>
  </si>
  <si>
    <t>if(${p_weight}&lt;10,'0',if(${p_weight}&lt;13,'1',if(${p_weight}&lt;25,2,'0')))</t>
  </si>
  <si>
    <t>ds_griseotab500</t>
  </si>
  <si>
    <t>if(${p_weight}&lt;10,'1/4',if(${p_weight}&lt;13,'1/2',if(${p_weight}&lt;25,'1/2','0')))</t>
  </si>
  <si>
    <t>ds_ibusyr</t>
  </si>
  <si>
    <t>round(10 div 100 * 5 *${p_weight},1)</t>
  </si>
  <si>
    <t>ds_INH</t>
  </si>
  <si>
    <t>if(${p_weight}&lt;1.5,'0',if(${p_weight}&lt;=3.5,'1/2',if(${p_weight}&lt;=6,'1','0')))</t>
  </si>
  <si>
    <t>ds_ivermectine3</t>
  </si>
  <si>
    <t>if(${p_weight}&gt;15 and ${p_weight}&lt;=24, '1', if(${p_weight}&gt;24 and ${p_weight}&lt;=45, '2','0'))</t>
  </si>
  <si>
    <t>ds_ivermectine6</t>
  </si>
  <si>
    <t>if(${p_weight}&gt;15 and ${p_weight}&lt;=24, '1/2', if(${p_weight}&gt;24 and ${p_weight}&lt;=45, '1','0'))</t>
  </si>
  <si>
    <t>ds_NVP</t>
  </si>
  <si>
    <t>if(${p_age}&lt;=42 and ${p_weight}&gt;2 and ${p_weight}&lt;=2.5,'1',if(${p_age}&lt;=42 and ${p_weight}&gt;2.5,'1.5','2'))</t>
  </si>
  <si>
    <t>ds_ORS</t>
  </si>
  <si>
    <t>round(20*${p_weight},1)</t>
  </si>
  <si>
    <t>ds_ORSplanA</t>
  </si>
  <si>
    <t>ds_ORSplanB</t>
  </si>
  <si>
    <t>round(75*${p_weight},1)</t>
  </si>
  <si>
    <t>ds_ORSplanBtotal</t>
  </si>
  <si>
    <t>round(80*${p_weight},1)</t>
  </si>
  <si>
    <t>ds_ORSplanC</t>
  </si>
  <si>
    <t>round(120*${p_weight},1)</t>
  </si>
  <si>
    <t>ds_paracetamolIV</t>
  </si>
  <si>
    <t>round(15 div 50 * 5 *${p_weight},1)</t>
  </si>
  <si>
    <t>ds_paracetamolsyr</t>
  </si>
  <si>
    <t>round(15 div 120 * 5 *${p_weight},1)</t>
  </si>
  <si>
    <t>ds_paracetamoltab100</t>
  </si>
  <si>
    <t>if(${p_weight}&lt;4,'0',if(${p_weight}&lt;6,'1/2',if(${p_weight}&lt;10,'1',if(${p_weight}&lt;15,'1 1/2',if(${p_weight}&lt;20,'2','3')))))</t>
  </si>
  <si>
    <t>ds_paracetamoltab500</t>
  </si>
  <si>
    <t>if(${p_weight}&lt;6,'0',if(${p_weight}&lt;15,'1/4','1/2'))</t>
  </si>
  <si>
    <t>ds_penibenzathine</t>
  </si>
  <si>
    <t>if(${p_weight}&lt;1.5,'0.2',if(${p_weight}&lt;=2,'0.3',if(${p_weight}&lt;=2.5,'0.4',if(${p_weight}&lt;=3,'0.5',if(${p_weight}&lt;=4,'0.6',if(${p_weight}&lt;=4.5,'0.7',if(${p_weight}&lt;=5,'0.8',if(${p_weight}&lt;=5.5,'0.9',if(${p_weight}&lt;=6,'1','')))))))))</t>
  </si>
  <si>
    <t>ds_peniprocain</t>
  </si>
  <si>
    <t>if(${p_weight}&lt;1.5,'0.5',if(${p_weight}&lt;=2,'0.6',if(${p_weight}&lt;=2.5,'0.8',if(${p_weight}&lt;=3,'1',if(${p_weight}&lt;=4,'1.3',if(${p_weight}&lt;=4.5,'1.5',if(${p_weight}&lt;=5,'1.6',if(${p_weight}&lt;=5.5,'1.8',if(${p_weight}&lt;=6,'2','')))))))))</t>
  </si>
  <si>
    <t>ds_pheno</t>
  </si>
  <si>
    <t>round(20 div 200 * ${p_weight},1)</t>
  </si>
  <si>
    <t>ds_POG10</t>
  </si>
  <si>
    <t>round(5 * ${p_weight},1)</t>
  </si>
  <si>
    <t>ds_prazi</t>
  </si>
  <si>
    <t>if(${p_weight}&lt;6,'',if(${p_weight}&lt;12,0.5,1))</t>
  </si>
  <si>
    <t>ds_prednisone</t>
  </si>
  <si>
    <t>round(2 div 5*${p_weight},1)</t>
  </si>
  <si>
    <t>ds_resomal1</t>
  </si>
  <si>
    <t>ds_resomal2</t>
  </si>
  <si>
    <t>ds_RH</t>
  </si>
  <si>
    <t>if(${p_weight}&lt;2,'3',if(${p_weight}&lt;=3,'5',if(${p_weight}&lt;=4,'7',if(${p_weight}&lt;=5,'10',if(${p_weight}&lt;=6,'12','0')))))</t>
  </si>
  <si>
    <t>ds_RL1</t>
  </si>
  <si>
    <t>round(30*${p_weight},1)</t>
  </si>
  <si>
    <t>ds_RL2</t>
  </si>
  <si>
    <t>round(70*${p_weight},1)</t>
  </si>
  <si>
    <t>ds_SLG50</t>
  </si>
  <si>
    <t>ds_SW</t>
  </si>
  <si>
    <t>ds_vitA</t>
  </si>
  <si>
    <t>if(${p_age}&lt;6,'50.000 UI (2 drops)',if(${p_age}&lt;12,'100.000 UI (4 drops)','200.000 UI (1 capsule)'))</t>
  </si>
  <si>
    <t>ds_zinc</t>
  </si>
  <si>
    <t>if(${p_age}&lt;6,0.5,1)</t>
  </si>
  <si>
    <t>fup_conjunctivitis_bacterial</t>
  </si>
  <si>
    <t>${d_conjunctivitis_bacterial}*2</t>
  </si>
  <si>
    <t>fup_pneumonia</t>
  </si>
  <si>
    <t>${d_pneumonia}*1</t>
  </si>
  <si>
    <t>load_z_score</t>
  </si>
  <si>
    <t>if(number(${p_weight}) &lt; ${z_score_3}, (-3.1),  if(number(${p_weight}) &lt; ${z_score_2}, (-2.1),0))</t>
  </si>
  <si>
    <t>load_z_score_wa</t>
  </si>
  <si>
    <t>if(number(${p_weight}) &lt;= ${z_score_wa_2}, (-2.1),0)</t>
  </si>
  <si>
    <t>p_weeks</t>
  </si>
  <si>
    <t>round(${p_age} div 7,1)</t>
  </si>
  <si>
    <t>wfa_boys_z2</t>
  </si>
  <si>
    <t>if(${gender}='male' and ${p_age}&lt;6, round(2.40652508248084+0.6719110647762*${p_age}+0.597558700502485*pow(${p_age},2)-0.386222708865521*pow(${p_age},3)+0.103431443100712*pow(${p_age},4)-0.013232467453562*pow(${p_age},5)+0.000657743355378*pow(${p_age},6),1), 0)</t>
  </si>
  <si>
    <t>if( ${gender}='opt_1', 2.437492493 +0.010437749*${p_age} +0.001630880*pow(${p_age},2) -0.000045985*pow(${p_age},3) +0.000000578*pow(${p_age},4)-0.000000003*pow(${p_age},5), 0)</t>
  </si>
  <si>
    <t>wfa_girls_z2</t>
  </si>
  <si>
    <t>if(${gender}='female' and ${p_age}&lt;6, 2.32542328582163+0.54974920952099*${p_age}+0.549643226266996*pow(${p_age},2)-0.361968913994003*pow(${p_age},3)+0.099640176827512*pow(${p_age},4)-0.013035668784194*pow(${p_age},5)+0.000659039704522*pow(${p_age},6), 0)</t>
  </si>
  <si>
    <t>if( ${gender}='opt_2', 2.363116761 +0.003313337*${p_age} + 0.001896007*pow(${p_age},2) -0.000057446*pow(${p_age},3) + 0.000000778*pow(${p_age},4) -0.000000004*pow(${p_age},5) , 0)</t>
  </si>
  <si>
    <t>wfh_boys_z2</t>
  </si>
  <si>
    <t>if(${gender}='male' and ${p_age}&gt;=24,(-103.08822370487)+5.61315796706877*${p_height}-0.11917837109983*pow(${p_height},2)+0.00129394979535905*pow(${p_height},3)- 0.00000699833557678578*pow(${p_height},4)+0.0000000152552428096262*pow(${p_height},5), 0)</t>
  </si>
  <si>
    <t>wfh_boys_z3</t>
  </si>
  <si>
    <t>if(${gender}='male' and ${p_age}&gt;=24,(-112.979972418427)+6.2988898216844*${p_height}-0.137409530301419*pow(${p_height},2)+0.001522673817506*pow(${p_height},3)-0.00000837903787088964*pow(${p_height},4)+0.0000000184561530430576*pow(${p_height},5), 0)</t>
  </si>
  <si>
    <t>wfh_girls_z2</t>
  </si>
  <si>
    <t>if(${gender}='female' and ${p_age}&gt;=24,44.5010652136164-2.48461504502134*${p_height}+0.0565329405677317*pow(${p_height},2)-0.000594047423562236*pow(${p_height},3)+0.00000303276720853533*pow(${p_height},4)-0.00000000578008422967902*pow(${p_height},5), 0)</t>
  </si>
  <si>
    <t>wfh_girls_z3</t>
  </si>
  <si>
    <t>if(${gender}='female' and ${p_age}&gt;=24,41.2622536519346-2.2807946589665*${p_height}+0.0513162082758347*pow(${p_height},2)-0.000532227017487036*pow(${p_height},3)+0.00000267880129591717*pow(${p_height},4)-0.00000000502269777541732*pow(${p_height},5), 0)</t>
  </si>
  <si>
    <t>wfl_boys_z2</t>
  </si>
  <si>
    <t>if(${gender}='male' and ${p_age}&lt;24, 401.8512-32.76097*${p_length}+1.081489*pow(${p_length},2)-0.01852128*pow(${p_length},3)+0.000175026*pow(${p_length},4)-0.0000008675939*pow(${p_length},5)+0.000000001766935*pow(${p_length},6), 0)</t>
  </si>
  <si>
    <t>wfl_boys_z3</t>
  </si>
  <si>
    <t>if(${gender}='male' and ${p_age}&lt;24,397.667583059865-32.4992570845463*${p_length}+1.07598032968035*pow(${p_length},2)-0.018489948462309*pow(${p_length},3)+0.000175316193999*pow(${p_length},4)-0.000000871706817549445*pow(${p_length},5),+0.00000000177985370342719*pow(${p_length},6), 0)</t>
  </si>
  <si>
    <t>wfl_girls_z2</t>
  </si>
  <si>
    <t>if(${gender}='female' and ${p_age}&lt;24,387.204647641644-32.0698342553158*${p_length}+1.07733379999866*pow(${p_length},2)-0.018797127520729*pow(${p_length},3)+0.000181053674583*pow(${p_length},4)-0.000000914804423037898*pow(${p_length},5)+0.00000000189887854824304*pow(${p_length},6), 0)</t>
  </si>
  <si>
    <t>wfl_girls_z3</t>
  </si>
  <si>
    <t>if(${gender}='female' and ${p_age}&lt;24,355.761184743495-29.4832138432899*${p_length}+0.991159589180326*pow(${p_length},2)-0.017308198881921*pow(${p_length},3)+0.000166866113014*pow(${p_length},4)-0.00000084389784863571*pow(${p_length},5)+0.00000000175315244491177*pow(${p_length},6), 0)</t>
  </si>
  <si>
    <t>z_score_2</t>
  </si>
  <si>
    <t>number(${wfl_boys_z2}) + number(${wfl_girls_z2}) + number(${wfh_boys_z2}) + number(${wfh_girls_z2})</t>
  </si>
  <si>
    <t>z_score_3</t>
  </si>
  <si>
    <t>number(${wfl_boys_z3}) + number(${wfl_girls_z3}) + number(${wfh_boys_z3}) + number(${wfh_girls_z3})</t>
  </si>
  <si>
    <t>z_score_wa_2</t>
  </si>
  <si>
    <t>number(${wfa_boys_z2}) + number(${wfa_girls_z2})</t>
  </si>
  <si>
    <t>form_title</t>
  </si>
  <si>
    <t>form_id</t>
  </si>
  <si>
    <t>version</t>
  </si>
  <si>
    <t>default_language</t>
  </si>
  <si>
    <t>style</t>
  </si>
  <si>
    <t>Dosage and Z-score tester</t>
  </si>
  <si>
    <t>doseage_zscore_tester</t>
  </si>
  <si>
    <t>en</t>
  </si>
  <si>
    <t>pages</t>
  </si>
  <si>
    <t>if(${p_weight}&gt;=20,round(2.4 div 20 * ${p_weight}),round(3 div 20 *${p_weight},1))</t>
  </si>
  <si>
    <t>if(${p_weight}&lt;=10,1,2)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</si>
</sst>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hhmmss"/>
  </numFmts>
  <fonts count="4">
    <font>
      <sz val="12"/>
      <color rgb="FF000000"/>
      <name val="Calibri"/>
      <family val="2"/>
      <charset val="1"/>
    </font>
    <font>
      <sz val="11"/>
      <name val="Arial"/>
      <family val="2"/>
      <charset val="1"/>
    </font>
    <font>
      <sz val="12"/>
      <color rgb="FF000000"/>
      <name val="Calibri"/>
      <family val="2"/>
      <charset val="129"/>
    </font>
    <font>
      <b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CCC1DA"/>
      </patternFill>
    </fill>
    <fill>
      <patternFill patternType="solid">
        <fgColor rgb="FFD9D9D9"/>
        <bgColor rgb="FFE3E0C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2" borderId="0"/>
    <xf numFmtId="0" fontId="2" fillId="0" borderId="0"/>
  </cellStyleXfs>
  <cellXfs count="6">
    <xf numFmtId="0" fontId="0" fillId="0" borderId="0" xfId="0"/>
    <xf numFmtId="0" fontId="0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Font="1"/>
    <xf numFmtId="164" fontId="0" fillId="0" borderId="0" xfId="0" applyNumberFormat="1"/>
  </cellXfs>
  <cellStyles count="3">
    <cellStyle name="Group" xfId="1" xr:uid="{00000000-0005-0000-0000-000006000000}"/>
    <cellStyle name="Normal" xfId="0" builtinId="0"/>
    <cellStyle name="Normal 2" xfId="2" xr:uid="{00000000-0005-0000-0000-000007000000}"/>
  </cellStyles>
  <dxfs count="67">
    <dxf>
      <fill>
        <patternFill>
          <bgColor rgb="FFC4BD97"/>
        </patternFill>
      </fill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FFD44B"/>
        </patternFill>
      </fill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C4BD97"/>
        </patternFill>
      </fill>
    </dxf>
    <dxf>
      <fill>
        <patternFill>
          <bgColor rgb="FFF2F2F2"/>
        </patternFill>
      </fill>
    </dxf>
    <dxf>
      <fill>
        <patternFill>
          <bgColor rgb="FFD7E4BD"/>
        </patternFill>
      </fill>
    </dxf>
    <dxf>
      <fill>
        <patternFill>
          <bgColor rgb="FF4685D2"/>
        </patternFill>
      </fill>
    </dxf>
    <dxf>
      <fill>
        <patternFill>
          <bgColor rgb="FFB9CDE5"/>
        </patternFill>
      </fill>
    </dxf>
    <dxf>
      <fill>
        <patternFill>
          <bgColor rgb="FFFAC09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ont>
        <color rgb="FFFFFFFF"/>
      </font>
      <fill>
        <patternFill>
          <bgColor rgb="FFD9D9D9"/>
        </patternFill>
      </fill>
    </dxf>
    <dxf>
      <font>
        <color rgb="FFFFFFFF"/>
      </font>
      <fill>
        <patternFill>
          <bgColor rgb="FFD9D9D9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AC090"/>
        </patternFill>
      </fill>
    </dxf>
    <dxf>
      <fill>
        <patternFill>
          <bgColor rgb="FFB9CDE5"/>
        </patternFill>
      </fill>
    </dxf>
    <dxf>
      <fill>
        <patternFill>
          <bgColor rgb="FF4685D2"/>
        </patternFill>
      </fill>
    </dxf>
    <dxf>
      <fill>
        <patternFill>
          <bgColor rgb="FFD7E4BD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C3D69B"/>
        </patternFill>
      </fill>
    </dxf>
    <dxf>
      <fill>
        <patternFill>
          <bgColor rgb="FFDCC97A"/>
        </patternFill>
      </fill>
    </dxf>
    <dxf>
      <fill>
        <patternFill>
          <bgColor rgb="FFE4E300"/>
        </patternFill>
      </fill>
    </dxf>
    <dxf>
      <fill>
        <patternFill>
          <bgColor rgb="FFB3A2C7"/>
        </patternFill>
      </fill>
    </dxf>
    <dxf>
      <fill>
        <patternFill>
          <bgColor rgb="FFCCC1DA"/>
        </patternFill>
      </fill>
    </dxf>
    <dxf>
      <fill>
        <patternFill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>
          <bgColor rgb="FFE7D480"/>
        </patternFill>
      </fill>
    </dxf>
    <dxf>
      <fill>
        <patternFill>
          <bgColor rgb="FFEBF1DE"/>
        </patternFill>
      </fill>
    </dxf>
    <dxf>
      <fill>
        <patternFill>
          <bgColor rgb="FF99BCE7"/>
        </patternFill>
      </fill>
    </dxf>
    <dxf>
      <fill>
        <patternFill>
          <bgColor rgb="FFDCE6F2"/>
        </patternFill>
      </fill>
    </dxf>
    <dxf>
      <fill>
        <patternFill>
          <bgColor rgb="FFFCD5B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FB00"/>
      <rgbColor rgb="FFFF00FF"/>
      <rgbColor rgb="FF00FFFF"/>
      <rgbColor rgb="FF800000"/>
      <rgbColor rgb="FF008000"/>
      <rgbColor rgb="FF000080"/>
      <rgbColor rgb="FFFCD5B5"/>
      <rgbColor rgb="FF800080"/>
      <rgbColor rgb="FF008080"/>
      <rgbColor rgb="FFCCC1DA"/>
      <rgbColor rgb="FF808080"/>
      <rgbColor rgb="FFD9D9D9"/>
      <rgbColor rgb="FF993366"/>
      <rgbColor rgb="FFEBF1DE"/>
      <rgbColor rgb="FFDCE6F2"/>
      <rgbColor rgb="FF660066"/>
      <rgbColor rgb="FFE7D480"/>
      <rgbColor rgb="FF0066CC"/>
      <rgbColor rgb="FFB9CDE5"/>
      <rgbColor rgb="FF000080"/>
      <rgbColor rgb="FFFF00FF"/>
      <rgbColor rgb="FFE4E300"/>
      <rgbColor rgb="FF00FFFF"/>
      <rgbColor rgb="FF800080"/>
      <rgbColor rgb="FF800000"/>
      <rgbColor rgb="FF008080"/>
      <rgbColor rgb="FF0000FF"/>
      <rgbColor rgb="FF00CCFF"/>
      <rgbColor rgb="FFF2F2F2"/>
      <rgbColor rgb="FFDDE8C6"/>
      <rgbColor rgb="FFD7E4BD"/>
      <rgbColor rgb="FF99BCE7"/>
      <rgbColor rgb="FFFFBB57"/>
      <rgbColor rgb="FFB3A2C7"/>
      <rgbColor rgb="FFFAC090"/>
      <rgbColor rgb="FF4685D2"/>
      <rgbColor rgb="FFC3D69B"/>
      <rgbColor rgb="FFDCC97A"/>
      <rgbColor rgb="FFEEB400"/>
      <rgbColor rgb="FFFF9900"/>
      <rgbColor rgb="FFFFD44B"/>
      <rgbColor rgb="FF666699"/>
      <rgbColor rgb="FFC4BD97"/>
      <rgbColor rgb="FF003366"/>
      <rgbColor rgb="FFE3E0C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zoomScale="75" zoomScaleNormal="75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C17" sqref="C17"/>
    </sheetView>
  </sheetViews>
  <sheetFormatPr defaultColWidth="17.58203125" defaultRowHeight="15.5"/>
  <cols>
    <col min="1" max="1" width="13.6640625" style="1" customWidth="1"/>
    <col min="2" max="2" width="26.5" style="1" customWidth="1"/>
    <col min="3" max="3" width="148.08203125" style="1" customWidth="1"/>
    <col min="1014" max="1024" width="8.4140625" customWidth="1"/>
  </cols>
  <sheetData>
    <row r="1" spans="1:4" s="3" customFormat="1" ht="15" customHeight="1">
      <c r="A1" s="2" t="s">
        <v>0</v>
      </c>
      <c r="B1" s="2" t="s">
        <v>1</v>
      </c>
      <c r="C1" s="2" t="s">
        <v>2</v>
      </c>
      <c r="D1" s="3" t="s">
        <v>3</v>
      </c>
    </row>
    <row r="2" spans="1:4" ht="15" customHeight="1">
      <c r="A2" s="1" t="s">
        <v>4</v>
      </c>
      <c r="B2" s="1" t="s">
        <v>5</v>
      </c>
      <c r="C2" s="1" t="s">
        <v>6</v>
      </c>
      <c r="D2" s="4" t="s">
        <v>7</v>
      </c>
    </row>
    <row r="3" spans="1:4" ht="15" customHeight="1">
      <c r="A3" s="1" t="s">
        <v>4</v>
      </c>
      <c r="B3" s="1" t="s">
        <v>8</v>
      </c>
      <c r="C3" s="1" t="s">
        <v>9</v>
      </c>
      <c r="D3" s="4" t="s">
        <v>7</v>
      </c>
    </row>
    <row r="4" spans="1:4" ht="15" customHeight="1">
      <c r="A4" s="1" t="s">
        <v>4</v>
      </c>
      <c r="B4" s="1" t="s">
        <v>8</v>
      </c>
      <c r="C4" s="1" t="s">
        <v>10</v>
      </c>
      <c r="D4" s="4" t="s">
        <v>11</v>
      </c>
    </row>
    <row r="5" spans="1:4" ht="15" customHeight="1">
      <c r="A5" s="1" t="s">
        <v>4</v>
      </c>
      <c r="B5" s="1" t="s">
        <v>12</v>
      </c>
      <c r="C5" s="1" t="s">
        <v>13</v>
      </c>
      <c r="D5" s="4" t="s">
        <v>11</v>
      </c>
    </row>
    <row r="6" spans="1:4" ht="15" customHeight="1">
      <c r="A6" s="1" t="s">
        <v>4</v>
      </c>
      <c r="B6" s="1" t="s">
        <v>14</v>
      </c>
      <c r="C6" s="1" t="s">
        <v>15</v>
      </c>
      <c r="D6" s="4" t="s">
        <v>11</v>
      </c>
    </row>
    <row r="7" spans="1:4" ht="15" customHeight="1">
      <c r="A7" s="1" t="s">
        <v>4</v>
      </c>
      <c r="B7" s="1" t="s">
        <v>16</v>
      </c>
      <c r="C7" s="1" t="s">
        <v>17</v>
      </c>
      <c r="D7" s="4" t="s">
        <v>11</v>
      </c>
    </row>
    <row r="8" spans="1:4" ht="15" customHeight="1">
      <c r="A8" s="1" t="s">
        <v>4</v>
      </c>
      <c r="B8" s="1" t="s">
        <v>18</v>
      </c>
      <c r="C8" s="1" t="s">
        <v>19</v>
      </c>
      <c r="D8" s="4" t="s">
        <v>11</v>
      </c>
    </row>
    <row r="9" spans="1:4" ht="15" customHeight="1">
      <c r="A9" s="1" t="s">
        <v>4</v>
      </c>
      <c r="B9" s="1" t="s">
        <v>20</v>
      </c>
      <c r="C9" s="1" t="s">
        <v>21</v>
      </c>
      <c r="D9" s="4" t="s">
        <v>11</v>
      </c>
    </row>
    <row r="10" spans="1:4" ht="15" customHeight="1">
      <c r="A10" s="1" t="s">
        <v>4</v>
      </c>
      <c r="B10" s="1" t="s">
        <v>22</v>
      </c>
      <c r="C10" s="1" t="s">
        <v>23</v>
      </c>
      <c r="D10" s="4" t="s">
        <v>7</v>
      </c>
    </row>
    <row r="11" spans="1:4" ht="15" customHeight="1">
      <c r="A11" s="1" t="s">
        <v>4</v>
      </c>
      <c r="B11" s="1" t="s">
        <v>22</v>
      </c>
      <c r="C11" s="1" t="s">
        <v>24</v>
      </c>
      <c r="D11" s="4" t="s">
        <v>11</v>
      </c>
    </row>
    <row r="12" spans="1:4" ht="15" customHeight="1">
      <c r="A12" s="1" t="s">
        <v>4</v>
      </c>
      <c r="B12" s="1" t="s">
        <v>25</v>
      </c>
      <c r="C12" s="1" t="s">
        <v>26</v>
      </c>
      <c r="D12" s="4" t="s">
        <v>7</v>
      </c>
    </row>
    <row r="13" spans="1:4" ht="15" customHeight="1">
      <c r="A13" s="1" t="s">
        <v>4</v>
      </c>
      <c r="B13" s="1" t="s">
        <v>25</v>
      </c>
      <c r="C13" s="1" t="s">
        <v>27</v>
      </c>
      <c r="D13" s="4" t="s">
        <v>11</v>
      </c>
    </row>
    <row r="14" spans="1:4" ht="15" customHeight="1">
      <c r="A14" s="1" t="s">
        <v>4</v>
      </c>
      <c r="B14" s="1" t="s">
        <v>28</v>
      </c>
      <c r="C14" s="1" t="s">
        <v>29</v>
      </c>
      <c r="D14" s="4" t="s">
        <v>11</v>
      </c>
    </row>
    <row r="15" spans="1:4" ht="15" customHeight="1">
      <c r="A15" s="1" t="s">
        <v>4</v>
      </c>
      <c r="B15" s="1" t="s">
        <v>30</v>
      </c>
      <c r="C15" s="1" t="s">
        <v>31</v>
      </c>
      <c r="D15" s="4" t="s">
        <v>32</v>
      </c>
    </row>
    <row r="16" spans="1:4" ht="15" customHeight="1">
      <c r="A16" s="1" t="s">
        <v>4</v>
      </c>
      <c r="B16" s="1" t="s">
        <v>33</v>
      </c>
      <c r="C16" s="1" t="s">
        <v>34</v>
      </c>
      <c r="D16" s="4" t="s">
        <v>7</v>
      </c>
    </row>
    <row r="17" spans="1:4" ht="15" customHeight="1">
      <c r="A17" s="1" t="s">
        <v>4</v>
      </c>
      <c r="B17" s="1" t="s">
        <v>33</v>
      </c>
      <c r="C17" s="1" t="s">
        <v>213</v>
      </c>
      <c r="D17" s="4" t="s">
        <v>11</v>
      </c>
    </row>
    <row r="18" spans="1:4" ht="15" customHeight="1">
      <c r="A18" s="1" t="s">
        <v>4</v>
      </c>
      <c r="B18" s="1" t="s">
        <v>36</v>
      </c>
      <c r="C18" s="1" t="s">
        <v>35</v>
      </c>
      <c r="D18" s="4" t="s">
        <v>11</v>
      </c>
    </row>
    <row r="19" spans="1:4" ht="15" customHeight="1">
      <c r="A19" s="1" t="s">
        <v>4</v>
      </c>
      <c r="B19" s="1" t="s">
        <v>37</v>
      </c>
      <c r="C19" s="1" t="s">
        <v>214</v>
      </c>
      <c r="D19" s="4" t="s">
        <v>11</v>
      </c>
    </row>
    <row r="20" spans="1:4" ht="15" customHeight="1">
      <c r="A20" s="1" t="s">
        <v>4</v>
      </c>
      <c r="B20" s="1" t="s">
        <v>38</v>
      </c>
      <c r="C20" s="1" t="s">
        <v>39</v>
      </c>
      <c r="D20" s="4" t="s">
        <v>7</v>
      </c>
    </row>
    <row r="21" spans="1:4" ht="15" customHeight="1">
      <c r="A21" s="1" t="s">
        <v>4</v>
      </c>
      <c r="B21" s="1" t="s">
        <v>38</v>
      </c>
      <c r="C21" s="1" t="s">
        <v>40</v>
      </c>
      <c r="D21" s="4" t="s">
        <v>11</v>
      </c>
    </row>
    <row r="22" spans="1:4" ht="15" customHeight="1">
      <c r="A22" s="1" t="s">
        <v>4</v>
      </c>
      <c r="B22" s="1" t="s">
        <v>41</v>
      </c>
      <c r="C22" s="1" t="s">
        <v>42</v>
      </c>
      <c r="D22" s="4" t="s">
        <v>11</v>
      </c>
    </row>
    <row r="23" spans="1:4" ht="15" customHeight="1">
      <c r="A23" s="1" t="s">
        <v>4</v>
      </c>
      <c r="B23" s="1" t="s">
        <v>43</v>
      </c>
      <c r="C23" s="1" t="s">
        <v>44</v>
      </c>
      <c r="D23" s="4" t="s">
        <v>7</v>
      </c>
    </row>
    <row r="24" spans="1:4" ht="15" customHeight="1">
      <c r="A24" s="1" t="s">
        <v>4</v>
      </c>
      <c r="B24" s="1" t="s">
        <v>45</v>
      </c>
      <c r="C24" s="1" t="s">
        <v>46</v>
      </c>
      <c r="D24" s="4" t="s">
        <v>7</v>
      </c>
    </row>
    <row r="25" spans="1:4" ht="15" customHeight="1">
      <c r="A25" s="1" t="s">
        <v>4</v>
      </c>
      <c r="B25" s="1" t="s">
        <v>47</v>
      </c>
      <c r="C25" s="1" t="s">
        <v>48</v>
      </c>
      <c r="D25" s="4" t="s">
        <v>11</v>
      </c>
    </row>
    <row r="26" spans="1:4" ht="15" customHeight="1">
      <c r="A26" s="1" t="s">
        <v>4</v>
      </c>
      <c r="B26" s="1" t="s">
        <v>49</v>
      </c>
      <c r="C26" s="1" t="s">
        <v>46</v>
      </c>
      <c r="D26" s="4" t="s">
        <v>11</v>
      </c>
    </row>
    <row r="27" spans="1:4" ht="15" customHeight="1">
      <c r="A27" s="1" t="s">
        <v>4</v>
      </c>
      <c r="B27" s="1" t="s">
        <v>50</v>
      </c>
      <c r="C27" s="1" t="s">
        <v>51</v>
      </c>
      <c r="D27" s="4" t="s">
        <v>11</v>
      </c>
    </row>
    <row r="28" spans="1:4" ht="15" customHeight="1">
      <c r="A28" s="1" t="s">
        <v>4</v>
      </c>
      <c r="B28" s="1" t="s">
        <v>52</v>
      </c>
      <c r="C28" s="1" t="s">
        <v>53</v>
      </c>
      <c r="D28" s="4" t="s">
        <v>11</v>
      </c>
    </row>
    <row r="29" spans="1:4" ht="15" customHeight="1">
      <c r="A29" s="1" t="s">
        <v>4</v>
      </c>
      <c r="B29" s="1" t="s">
        <v>54</v>
      </c>
      <c r="C29" s="1" t="s">
        <v>55</v>
      </c>
      <c r="D29" s="4" t="s">
        <v>11</v>
      </c>
    </row>
    <row r="30" spans="1:4" ht="15" customHeight="1">
      <c r="A30" s="1" t="s">
        <v>4</v>
      </c>
      <c r="B30" s="1" t="s">
        <v>56</v>
      </c>
      <c r="C30" s="1" t="s">
        <v>51</v>
      </c>
      <c r="D30" s="4" t="s">
        <v>11</v>
      </c>
    </row>
    <row r="31" spans="1:4" ht="15" customHeight="1">
      <c r="A31" s="1" t="s">
        <v>4</v>
      </c>
      <c r="B31" s="1" t="s">
        <v>57</v>
      </c>
      <c r="C31" s="1" t="s">
        <v>58</v>
      </c>
      <c r="D31" s="4" t="s">
        <v>59</v>
      </c>
    </row>
    <row r="32" spans="1:4" ht="15" customHeight="1">
      <c r="A32" s="1" t="s">
        <v>4</v>
      </c>
      <c r="B32" s="1" t="s">
        <v>60</v>
      </c>
      <c r="C32" s="1" t="s">
        <v>61</v>
      </c>
      <c r="D32" s="4" t="s">
        <v>59</v>
      </c>
    </row>
    <row r="33" spans="1:4" ht="15" customHeight="1">
      <c r="A33" s="1" t="s">
        <v>4</v>
      </c>
      <c r="B33" s="1" t="s">
        <v>62</v>
      </c>
      <c r="C33" s="1" t="s">
        <v>63</v>
      </c>
      <c r="D33" s="4" t="s">
        <v>11</v>
      </c>
    </row>
    <row r="34" spans="1:4" ht="15" customHeight="1">
      <c r="A34" s="1" t="s">
        <v>4</v>
      </c>
      <c r="B34" s="1" t="s">
        <v>64</v>
      </c>
      <c r="C34" s="1" t="s">
        <v>65</v>
      </c>
      <c r="D34" s="4" t="s">
        <v>11</v>
      </c>
    </row>
    <row r="35" spans="1:4" ht="15" customHeight="1">
      <c r="A35" s="1" t="s">
        <v>4</v>
      </c>
      <c r="B35" s="1" t="s">
        <v>66</v>
      </c>
      <c r="C35" s="1" t="s">
        <v>67</v>
      </c>
      <c r="D35" s="4" t="s">
        <v>11</v>
      </c>
    </row>
    <row r="36" spans="1:4" ht="15" customHeight="1">
      <c r="A36" s="1" t="s">
        <v>4</v>
      </c>
      <c r="B36" s="1" t="s">
        <v>68</v>
      </c>
      <c r="C36" s="1" t="s">
        <v>69</v>
      </c>
      <c r="D36" s="4" t="s">
        <v>59</v>
      </c>
    </row>
    <row r="37" spans="1:4" ht="15" customHeight="1">
      <c r="A37" s="1" t="s">
        <v>4</v>
      </c>
      <c r="B37" s="1" t="s">
        <v>70</v>
      </c>
      <c r="C37" s="1" t="s">
        <v>71</v>
      </c>
      <c r="D37" s="4" t="s">
        <v>7</v>
      </c>
    </row>
    <row r="38" spans="1:4" ht="15" customHeight="1">
      <c r="A38" s="1" t="s">
        <v>4</v>
      </c>
      <c r="B38" s="1" t="s">
        <v>72</v>
      </c>
      <c r="C38" s="1" t="s">
        <v>73</v>
      </c>
      <c r="D38" s="4" t="s">
        <v>11</v>
      </c>
    </row>
    <row r="39" spans="1:4" ht="15" customHeight="1">
      <c r="A39" s="1" t="s">
        <v>4</v>
      </c>
      <c r="B39" s="1" t="s">
        <v>74</v>
      </c>
      <c r="C39" s="1" t="s">
        <v>75</v>
      </c>
      <c r="D39" s="4" t="s">
        <v>7</v>
      </c>
    </row>
    <row r="40" spans="1:4" ht="15" customHeight="1">
      <c r="A40" s="1" t="s">
        <v>4</v>
      </c>
      <c r="B40" s="1" t="s">
        <v>76</v>
      </c>
      <c r="C40" s="1" t="s">
        <v>77</v>
      </c>
      <c r="D40" s="4" t="s">
        <v>11</v>
      </c>
    </row>
    <row r="41" spans="1:4" ht="15" customHeight="1">
      <c r="A41" s="1" t="s">
        <v>4</v>
      </c>
      <c r="B41" s="1" t="s">
        <v>78</v>
      </c>
      <c r="C41" s="1" t="s">
        <v>79</v>
      </c>
      <c r="D41" s="4" t="s">
        <v>11</v>
      </c>
    </row>
    <row r="42" spans="1:4" ht="15" customHeight="1">
      <c r="A42" s="1" t="s">
        <v>4</v>
      </c>
      <c r="B42" s="1" t="s">
        <v>80</v>
      </c>
      <c r="C42" s="1" t="s">
        <v>81</v>
      </c>
      <c r="D42" s="4" t="s">
        <v>11</v>
      </c>
    </row>
    <row r="43" spans="1:4" ht="15" customHeight="1">
      <c r="A43" s="1" t="s">
        <v>4</v>
      </c>
      <c r="B43" s="1" t="s">
        <v>82</v>
      </c>
      <c r="C43" s="1" t="s">
        <v>83</v>
      </c>
      <c r="D43" s="4" t="s">
        <v>11</v>
      </c>
    </row>
    <row r="44" spans="1:4" ht="15" customHeight="1">
      <c r="A44" s="1" t="s">
        <v>4</v>
      </c>
      <c r="B44" s="1" t="s">
        <v>84</v>
      </c>
      <c r="C44" s="1" t="s">
        <v>85</v>
      </c>
      <c r="D44" s="4" t="s">
        <v>59</v>
      </c>
    </row>
    <row r="45" spans="1:4" ht="15" customHeight="1">
      <c r="A45" s="1" t="s">
        <v>4</v>
      </c>
      <c r="B45" s="1" t="s">
        <v>86</v>
      </c>
      <c r="C45" s="1" t="s">
        <v>58</v>
      </c>
      <c r="D45" s="4" t="s">
        <v>11</v>
      </c>
    </row>
    <row r="46" spans="1:4" ht="15" customHeight="1">
      <c r="A46" s="1" t="s">
        <v>4</v>
      </c>
      <c r="B46" s="1" t="s">
        <v>87</v>
      </c>
      <c r="C46" s="1" t="s">
        <v>88</v>
      </c>
      <c r="D46" s="4" t="s">
        <v>11</v>
      </c>
    </row>
    <row r="47" spans="1:4" ht="15" customHeight="1">
      <c r="A47" s="1" t="s">
        <v>4</v>
      </c>
      <c r="B47" s="1" t="s">
        <v>89</v>
      </c>
      <c r="C47" s="1" t="s">
        <v>90</v>
      </c>
      <c r="D47" s="4" t="s">
        <v>11</v>
      </c>
    </row>
    <row r="48" spans="1:4" ht="15" customHeight="1">
      <c r="A48" s="1" t="s">
        <v>4</v>
      </c>
      <c r="B48" s="1" t="s">
        <v>91</v>
      </c>
      <c r="C48" s="1" t="s">
        <v>92</v>
      </c>
      <c r="D48" s="4" t="s">
        <v>59</v>
      </c>
    </row>
    <row r="49" spans="1:4" ht="15" customHeight="1">
      <c r="A49" s="1" t="s">
        <v>4</v>
      </c>
      <c r="B49" s="1" t="s">
        <v>93</v>
      </c>
      <c r="C49" s="1" t="s">
        <v>94</v>
      </c>
      <c r="D49" s="4" t="s">
        <v>59</v>
      </c>
    </row>
    <row r="50" spans="1:4" ht="15" customHeight="1">
      <c r="A50" s="1" t="s">
        <v>4</v>
      </c>
      <c r="B50" s="1" t="s">
        <v>95</v>
      </c>
      <c r="C50" s="1" t="s">
        <v>96</v>
      </c>
      <c r="D50" s="4" t="s">
        <v>7</v>
      </c>
    </row>
    <row r="51" spans="1:4" ht="15" customHeight="1">
      <c r="A51" s="1" t="s">
        <v>4</v>
      </c>
      <c r="B51" s="1" t="s">
        <v>97</v>
      </c>
      <c r="C51" s="1" t="s">
        <v>98</v>
      </c>
      <c r="D51" s="4" t="s">
        <v>7</v>
      </c>
    </row>
    <row r="52" spans="1:4" ht="15" customHeight="1">
      <c r="A52" s="1" t="s">
        <v>4</v>
      </c>
      <c r="B52" s="1" t="s">
        <v>99</v>
      </c>
      <c r="C52" s="1" t="s">
        <v>100</v>
      </c>
      <c r="D52" s="4" t="s">
        <v>11</v>
      </c>
    </row>
    <row r="53" spans="1:4" ht="15" customHeight="1">
      <c r="A53" s="1" t="s">
        <v>4</v>
      </c>
      <c r="B53" s="1" t="s">
        <v>101</v>
      </c>
      <c r="C53" s="1" t="s">
        <v>102</v>
      </c>
      <c r="D53" s="4" t="s">
        <v>11</v>
      </c>
    </row>
    <row r="54" spans="1:4" ht="15" customHeight="1">
      <c r="A54" s="1" t="s">
        <v>4</v>
      </c>
      <c r="B54" s="1" t="s">
        <v>103</v>
      </c>
      <c r="C54" s="1" t="s">
        <v>104</v>
      </c>
      <c r="D54" s="4" t="s">
        <v>11</v>
      </c>
    </row>
    <row r="55" spans="1:4" ht="15" customHeight="1">
      <c r="A55" s="1" t="s">
        <v>4</v>
      </c>
      <c r="B55" s="1" t="s">
        <v>105</v>
      </c>
      <c r="C55" s="1" t="s">
        <v>106</v>
      </c>
      <c r="D55" s="4" t="s">
        <v>11</v>
      </c>
    </row>
    <row r="56" spans="1:4" ht="15" customHeight="1">
      <c r="A56" s="1" t="s">
        <v>4</v>
      </c>
      <c r="B56" s="1" t="s">
        <v>107</v>
      </c>
      <c r="C56" s="1" t="s">
        <v>108</v>
      </c>
      <c r="D56" s="4" t="s">
        <v>11</v>
      </c>
    </row>
    <row r="57" spans="1:4" ht="15" customHeight="1">
      <c r="A57" s="1" t="s">
        <v>4</v>
      </c>
      <c r="B57" s="1" t="s">
        <v>109</v>
      </c>
      <c r="C57" s="1" t="s">
        <v>110</v>
      </c>
      <c r="D57" s="4" t="s">
        <v>11</v>
      </c>
    </row>
    <row r="58" spans="1:4" ht="15" customHeight="1">
      <c r="A58" s="1" t="s">
        <v>4</v>
      </c>
      <c r="B58" s="1" t="s">
        <v>111</v>
      </c>
      <c r="C58" s="1" t="s">
        <v>112</v>
      </c>
      <c r="D58" s="4" t="s">
        <v>11</v>
      </c>
    </row>
    <row r="59" spans="1:4" ht="15" customHeight="1">
      <c r="A59" s="1" t="s">
        <v>4</v>
      </c>
      <c r="B59" s="1" t="s">
        <v>113</v>
      </c>
      <c r="C59" s="1" t="s">
        <v>114</v>
      </c>
      <c r="D59" s="4" t="s">
        <v>11</v>
      </c>
    </row>
    <row r="60" spans="1:4" ht="15" customHeight="1">
      <c r="A60" s="1" t="s">
        <v>4</v>
      </c>
      <c r="B60" s="1" t="s">
        <v>115</v>
      </c>
      <c r="C60" s="1" t="s">
        <v>116</v>
      </c>
      <c r="D60" s="4" t="s">
        <v>7</v>
      </c>
    </row>
    <row r="61" spans="1:4" ht="15" customHeight="1">
      <c r="A61" s="1" t="s">
        <v>4</v>
      </c>
      <c r="B61" s="1" t="s">
        <v>117</v>
      </c>
      <c r="C61" s="1" t="s">
        <v>118</v>
      </c>
      <c r="D61" s="4" t="s">
        <v>11</v>
      </c>
    </row>
    <row r="62" spans="1:4" ht="15" customHeight="1">
      <c r="A62" s="1" t="s">
        <v>4</v>
      </c>
      <c r="B62" s="1" t="s">
        <v>119</v>
      </c>
      <c r="C62" s="1" t="s">
        <v>120</v>
      </c>
      <c r="D62" s="4" t="s">
        <v>11</v>
      </c>
    </row>
    <row r="63" spans="1:4" ht="15" customHeight="1">
      <c r="A63" s="1" t="s">
        <v>4</v>
      </c>
      <c r="B63" s="1" t="s">
        <v>121</v>
      </c>
      <c r="C63" s="1" t="s">
        <v>122</v>
      </c>
      <c r="D63" s="4" t="s">
        <v>7</v>
      </c>
    </row>
    <row r="64" spans="1:4" ht="15" customHeight="1">
      <c r="A64" s="1" t="s">
        <v>4</v>
      </c>
      <c r="B64" s="1" t="s">
        <v>123</v>
      </c>
      <c r="C64" s="1" t="s">
        <v>124</v>
      </c>
      <c r="D64" s="4" t="s">
        <v>59</v>
      </c>
    </row>
    <row r="65" spans="1:4" ht="15" customHeight="1">
      <c r="A65" s="1" t="s">
        <v>4</v>
      </c>
      <c r="B65" s="1" t="s">
        <v>125</v>
      </c>
      <c r="C65" s="1" t="s">
        <v>104</v>
      </c>
      <c r="D65" s="4" t="s">
        <v>59</v>
      </c>
    </row>
    <row r="66" spans="1:4" ht="15" customHeight="1">
      <c r="A66" s="1" t="s">
        <v>4</v>
      </c>
      <c r="B66" s="1" t="s">
        <v>126</v>
      </c>
      <c r="C66" s="1" t="s">
        <v>127</v>
      </c>
      <c r="D66" s="4" t="s">
        <v>7</v>
      </c>
    </row>
    <row r="67" spans="1:4" ht="15" customHeight="1">
      <c r="A67" s="1" t="s">
        <v>4</v>
      </c>
      <c r="B67" s="1" t="s">
        <v>126</v>
      </c>
      <c r="C67" s="1" t="s">
        <v>124</v>
      </c>
      <c r="D67" s="4" t="s">
        <v>11</v>
      </c>
    </row>
    <row r="68" spans="1:4" ht="15" customHeight="1">
      <c r="A68" s="1" t="s">
        <v>4</v>
      </c>
      <c r="B68" s="1" t="s">
        <v>128</v>
      </c>
      <c r="C68" s="1" t="s">
        <v>129</v>
      </c>
      <c r="D68" s="4" t="s">
        <v>11</v>
      </c>
    </row>
    <row r="69" spans="1:4" ht="15" customHeight="1">
      <c r="A69" s="1" t="s">
        <v>4</v>
      </c>
      <c r="B69" s="1" t="s">
        <v>130</v>
      </c>
      <c r="C69" s="1" t="s">
        <v>131</v>
      </c>
      <c r="D69" s="4" t="s">
        <v>7</v>
      </c>
    </row>
    <row r="70" spans="1:4" ht="15" customHeight="1">
      <c r="A70" s="1" t="s">
        <v>4</v>
      </c>
      <c r="B70" s="1" t="s">
        <v>132</v>
      </c>
      <c r="C70" s="1" t="s">
        <v>133</v>
      </c>
      <c r="D70" s="4" t="s">
        <v>11</v>
      </c>
    </row>
    <row r="71" spans="1:4" ht="15" customHeight="1">
      <c r="A71" s="1" t="s">
        <v>4</v>
      </c>
      <c r="B71" s="1" t="s">
        <v>134</v>
      </c>
      <c r="C71" s="1" t="s">
        <v>135</v>
      </c>
      <c r="D71" s="4" t="s">
        <v>59</v>
      </c>
    </row>
    <row r="72" spans="1:4" ht="15" customHeight="1">
      <c r="A72" s="1" t="s">
        <v>4</v>
      </c>
      <c r="B72" s="1" t="s">
        <v>136</v>
      </c>
      <c r="C72" s="1" t="s">
        <v>137</v>
      </c>
      <c r="D72" s="4" t="s">
        <v>59</v>
      </c>
    </row>
    <row r="73" spans="1:4" ht="15" customHeight="1">
      <c r="A73" s="1" t="s">
        <v>4</v>
      </c>
      <c r="B73" s="1" t="s">
        <v>138</v>
      </c>
      <c r="C73" s="1" t="s">
        <v>139</v>
      </c>
      <c r="D73" s="4" t="s">
        <v>11</v>
      </c>
    </row>
    <row r="74" spans="1:4" ht="15" customHeight="1">
      <c r="A74" s="1" t="s">
        <v>4</v>
      </c>
      <c r="B74" s="1" t="s">
        <v>140</v>
      </c>
      <c r="C74" s="1" t="s">
        <v>141</v>
      </c>
      <c r="D74" s="4" t="s">
        <v>7</v>
      </c>
    </row>
    <row r="75" spans="1:4" ht="15" customHeight="1">
      <c r="A75" s="1" t="s">
        <v>4</v>
      </c>
      <c r="B75" s="1" t="s">
        <v>142</v>
      </c>
      <c r="C75" s="1" t="s">
        <v>143</v>
      </c>
      <c r="D75" s="4" t="s">
        <v>7</v>
      </c>
    </row>
    <row r="76" spans="1:4" ht="15" customHeight="1">
      <c r="A76" s="1" t="s">
        <v>4</v>
      </c>
      <c r="B76" s="1" t="s">
        <v>144</v>
      </c>
      <c r="C76" s="1" t="s">
        <v>145</v>
      </c>
      <c r="D76" s="4" t="s">
        <v>7</v>
      </c>
    </row>
    <row r="77" spans="1:4" ht="15" customHeight="1">
      <c r="A77" s="1" t="s">
        <v>4</v>
      </c>
      <c r="B77" s="1" t="s">
        <v>146</v>
      </c>
      <c r="C77" s="1" t="s">
        <v>147</v>
      </c>
      <c r="D77" s="4" t="s">
        <v>7</v>
      </c>
    </row>
    <row r="78" spans="1:4" ht="15" customHeight="1">
      <c r="A78" s="1" t="s">
        <v>4</v>
      </c>
      <c r="B78" s="1" t="s">
        <v>148</v>
      </c>
      <c r="C78" s="1" t="s">
        <v>149</v>
      </c>
      <c r="D78" s="4" t="s">
        <v>11</v>
      </c>
    </row>
    <row r="79" spans="1:4" ht="15" customHeight="1">
      <c r="A79" s="1" t="s">
        <v>4</v>
      </c>
      <c r="B79" s="1" t="s">
        <v>150</v>
      </c>
      <c r="C79" s="1" t="s">
        <v>151</v>
      </c>
      <c r="D79" s="4" t="s">
        <v>11</v>
      </c>
    </row>
    <row r="80" spans="1:4" ht="15" customHeight="1">
      <c r="A80" s="1" t="s">
        <v>4</v>
      </c>
      <c r="B80" s="1" t="s">
        <v>152</v>
      </c>
      <c r="C80" s="1" t="s">
        <v>124</v>
      </c>
      <c r="D80" s="4" t="s">
        <v>59</v>
      </c>
    </row>
    <row r="81" spans="1:4" ht="15" customHeight="1">
      <c r="A81" s="1" t="s">
        <v>4</v>
      </c>
      <c r="B81" s="1" t="s">
        <v>153</v>
      </c>
      <c r="C81" s="1" t="s">
        <v>104</v>
      </c>
      <c r="D81" s="4" t="s">
        <v>59</v>
      </c>
    </row>
    <row r="82" spans="1:4" ht="15" customHeight="1">
      <c r="A82" s="1" t="s">
        <v>4</v>
      </c>
      <c r="B82" s="1" t="s">
        <v>154</v>
      </c>
      <c r="C82" s="1" t="s">
        <v>155</v>
      </c>
      <c r="D82" s="4" t="s">
        <v>7</v>
      </c>
    </row>
    <row r="83" spans="1:4" ht="15" customHeight="1">
      <c r="A83" s="1" t="s">
        <v>4</v>
      </c>
      <c r="B83" s="1" t="s">
        <v>156</v>
      </c>
      <c r="C83" s="1" t="s">
        <v>157</v>
      </c>
      <c r="D83" s="4" t="s">
        <v>11</v>
      </c>
    </row>
    <row r="84" spans="1:4" ht="15" customHeight="1">
      <c r="A84" s="1" t="s">
        <v>4</v>
      </c>
      <c r="B84" s="1" t="s">
        <v>158</v>
      </c>
      <c r="C84" s="1" t="s">
        <v>159</v>
      </c>
      <c r="D84" s="4" t="s">
        <v>11</v>
      </c>
    </row>
    <row r="85" spans="1:4" ht="15" customHeight="1">
      <c r="A85" s="1" t="s">
        <v>4</v>
      </c>
      <c r="B85" s="1" t="s">
        <v>160</v>
      </c>
      <c r="C85" s="1" t="s">
        <v>9</v>
      </c>
      <c r="D85" s="4" t="s">
        <v>7</v>
      </c>
    </row>
    <row r="86" spans="1:4" ht="15" customHeight="1">
      <c r="A86" s="1" t="s">
        <v>4</v>
      </c>
      <c r="B86" s="1" t="s">
        <v>161</v>
      </c>
      <c r="C86" s="1" t="s">
        <v>147</v>
      </c>
      <c r="D86" s="4" t="s">
        <v>7</v>
      </c>
    </row>
    <row r="87" spans="1:4" ht="15" customHeight="1">
      <c r="A87" s="1" t="s">
        <v>4</v>
      </c>
      <c r="B87" s="1" t="s">
        <v>162</v>
      </c>
      <c r="C87" s="1" t="s">
        <v>163</v>
      </c>
      <c r="D87" s="4" t="s">
        <v>59</v>
      </c>
    </row>
    <row r="88" spans="1:4" ht="15" customHeight="1">
      <c r="A88" s="1" t="s">
        <v>4</v>
      </c>
      <c r="B88" s="1" t="s">
        <v>164</v>
      </c>
      <c r="C88" s="1" t="s">
        <v>165</v>
      </c>
      <c r="D88" s="4" t="s">
        <v>11</v>
      </c>
    </row>
    <row r="89" spans="1:4" ht="15" customHeight="1">
      <c r="A89" s="1" t="s">
        <v>4</v>
      </c>
      <c r="B89" s="1" t="s">
        <v>166</v>
      </c>
      <c r="C89" s="1" t="s">
        <v>167</v>
      </c>
      <c r="D89" s="4" t="s">
        <v>59</v>
      </c>
    </row>
    <row r="90" spans="1:4" ht="15" customHeight="1">
      <c r="A90" s="1" t="s">
        <v>4</v>
      </c>
      <c r="B90" s="1" t="s">
        <v>168</v>
      </c>
      <c r="C90" s="1" t="s">
        <v>169</v>
      </c>
      <c r="D90" s="4" t="s">
        <v>59</v>
      </c>
    </row>
    <row r="91" spans="1:4" ht="15" customHeight="1">
      <c r="A91" s="1" t="s">
        <v>4</v>
      </c>
      <c r="B91" s="1" t="s">
        <v>170</v>
      </c>
      <c r="C91" s="1" t="s">
        <v>171</v>
      </c>
      <c r="D91" s="4" t="s">
        <v>11</v>
      </c>
    </row>
    <row r="92" spans="1:4" ht="15" customHeight="1">
      <c r="A92" s="1" t="s">
        <v>4</v>
      </c>
      <c r="B92" s="1" t="s">
        <v>172</v>
      </c>
      <c r="C92" s="1" t="s">
        <v>173</v>
      </c>
      <c r="D92" s="4" t="s">
        <v>59</v>
      </c>
    </row>
    <row r="93" spans="1:4" ht="15" customHeight="1">
      <c r="A93" s="1" t="s">
        <v>4</v>
      </c>
      <c r="B93" s="1" t="s">
        <v>174</v>
      </c>
      <c r="C93" s="1" t="s">
        <v>175</v>
      </c>
      <c r="D93" s="4" t="s">
        <v>7</v>
      </c>
    </row>
    <row r="94" spans="1:4" ht="15" customHeight="1">
      <c r="A94" s="1" t="s">
        <v>4</v>
      </c>
      <c r="B94" s="1" t="s">
        <v>176</v>
      </c>
      <c r="C94" s="1" t="s">
        <v>177</v>
      </c>
      <c r="D94" s="4" t="s">
        <v>11</v>
      </c>
    </row>
    <row r="95" spans="1:4" ht="15" customHeight="1">
      <c r="A95" s="1" t="s">
        <v>4</v>
      </c>
      <c r="B95" s="1" t="s">
        <v>176</v>
      </c>
      <c r="C95" s="1" t="s">
        <v>178</v>
      </c>
      <c r="D95" s="4" t="s">
        <v>7</v>
      </c>
    </row>
    <row r="96" spans="1:4" ht="15" customHeight="1">
      <c r="A96" s="1" t="s">
        <v>4</v>
      </c>
      <c r="B96" s="1" t="s">
        <v>179</v>
      </c>
      <c r="C96" s="1" t="s">
        <v>180</v>
      </c>
      <c r="D96" s="4" t="s">
        <v>11</v>
      </c>
    </row>
    <row r="97" spans="1:4" ht="15" customHeight="1">
      <c r="A97" s="1" t="s">
        <v>4</v>
      </c>
      <c r="B97" s="1" t="s">
        <v>179</v>
      </c>
      <c r="C97" s="1" t="s">
        <v>181</v>
      </c>
      <c r="D97" s="4" t="s">
        <v>7</v>
      </c>
    </row>
    <row r="98" spans="1:4" ht="15" customHeight="1">
      <c r="A98" s="1" t="s">
        <v>4</v>
      </c>
      <c r="B98" s="1" t="s">
        <v>182</v>
      </c>
      <c r="C98" s="1" t="s">
        <v>183</v>
      </c>
      <c r="D98" s="4" t="s">
        <v>11</v>
      </c>
    </row>
    <row r="99" spans="1:4" ht="15" customHeight="1">
      <c r="A99" s="1" t="s">
        <v>4</v>
      </c>
      <c r="B99" s="1" t="s">
        <v>184</v>
      </c>
      <c r="C99" s="1" t="s">
        <v>185</v>
      </c>
      <c r="D99" s="4" t="s">
        <v>11</v>
      </c>
    </row>
    <row r="100" spans="1:4" ht="15" customHeight="1">
      <c r="A100" s="1" t="s">
        <v>4</v>
      </c>
      <c r="B100" s="1" t="s">
        <v>186</v>
      </c>
      <c r="C100" s="1" t="s">
        <v>187</v>
      </c>
      <c r="D100" s="4" t="s">
        <v>11</v>
      </c>
    </row>
    <row r="101" spans="1:4" ht="15" customHeight="1">
      <c r="A101" s="1" t="s">
        <v>4</v>
      </c>
      <c r="B101" s="1" t="s">
        <v>188</v>
      </c>
      <c r="C101" s="1" t="s">
        <v>189</v>
      </c>
      <c r="D101" s="4" t="s">
        <v>11</v>
      </c>
    </row>
    <row r="102" spans="1:4" ht="15" customHeight="1">
      <c r="A102" s="1" t="s">
        <v>4</v>
      </c>
      <c r="B102" s="1" t="s">
        <v>190</v>
      </c>
      <c r="C102" s="1" t="s">
        <v>191</v>
      </c>
      <c r="D102" s="4" t="s">
        <v>11</v>
      </c>
    </row>
    <row r="103" spans="1:4" ht="15" customHeight="1">
      <c r="A103" s="1" t="s">
        <v>4</v>
      </c>
      <c r="B103" s="1" t="s">
        <v>192</v>
      </c>
      <c r="C103" s="1" t="s">
        <v>193</v>
      </c>
      <c r="D103" s="4" t="s">
        <v>11</v>
      </c>
    </row>
    <row r="104" spans="1:4" ht="15" customHeight="1">
      <c r="A104" s="1" t="s">
        <v>4</v>
      </c>
      <c r="B104" s="1" t="s">
        <v>194</v>
      </c>
      <c r="C104" s="1" t="s">
        <v>195</v>
      </c>
      <c r="D104" s="4" t="s">
        <v>11</v>
      </c>
    </row>
    <row r="105" spans="1:4" ht="15" customHeight="1">
      <c r="A105" s="1" t="s">
        <v>4</v>
      </c>
      <c r="B105" s="1" t="s">
        <v>196</v>
      </c>
      <c r="C105" s="1" t="s">
        <v>197</v>
      </c>
      <c r="D105" s="4" t="s">
        <v>11</v>
      </c>
    </row>
    <row r="106" spans="1:4" ht="15" customHeight="1">
      <c r="A106" s="1" t="s">
        <v>4</v>
      </c>
      <c r="B106" s="1" t="s">
        <v>198</v>
      </c>
      <c r="C106" s="1" t="s">
        <v>199</v>
      </c>
      <c r="D106" s="4" t="s">
        <v>11</v>
      </c>
    </row>
    <row r="107" spans="1:4" ht="15" customHeight="1">
      <c r="A107" s="1" t="s">
        <v>4</v>
      </c>
      <c r="B107" s="1" t="s">
        <v>200</v>
      </c>
      <c r="C107" s="1" t="s">
        <v>201</v>
      </c>
      <c r="D107" s="4" t="s">
        <v>11</v>
      </c>
    </row>
    <row r="108" spans="1:4" ht="15" customHeight="1">
      <c r="A108" s="1" t="s">
        <v>4</v>
      </c>
      <c r="B108" s="1" t="s">
        <v>202</v>
      </c>
      <c r="C108" s="1" t="s">
        <v>203</v>
      </c>
      <c r="D108" s="4" t="s">
        <v>32</v>
      </c>
    </row>
  </sheetData>
  <conditionalFormatting sqref="B1:B6 B9 B57:B1048576 B11:B44">
    <cfRule type="expression" dxfId="66" priority="2">
      <formula>$A1="begin group"</formula>
    </cfRule>
  </conditionalFormatting>
  <conditionalFormatting sqref="B1:B6 B9 B57:B1048576 B11:B44">
    <cfRule type="expression" dxfId="65" priority="3">
      <formula>$A1="begin repeat"</formula>
    </cfRule>
  </conditionalFormatting>
  <conditionalFormatting sqref="B1:B6 B9 B57:B1048576 B11:B44">
    <cfRule type="expression" dxfId="64" priority="4">
      <formula>$A1="text"</formula>
    </cfRule>
  </conditionalFormatting>
  <conditionalFormatting sqref="B1:B6 B9 B57:B1048576 B11:B44">
    <cfRule type="expression" dxfId="63" priority="5">
      <formula>$A1="integer"</formula>
    </cfRule>
  </conditionalFormatting>
  <conditionalFormatting sqref="B1:B6 B9 B57:B1048576 B11:B44">
    <cfRule type="expression" dxfId="62" priority="6">
      <formula>$A1="decimal"</formula>
    </cfRule>
  </conditionalFormatting>
  <conditionalFormatting sqref="B1:B6 B9 B57:B1048576 B11:B44">
    <cfRule type="expression" dxfId="61" priority="7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B1:B6 B9 B57:B1048576 B11:B44">
    <cfRule type="expression" dxfId="60" priority="8">
      <formula>$A1="note"</formula>
    </cfRule>
    <cfRule type="expression" dxfId="59" priority="9">
      <formula>$A1="barcode"</formula>
    </cfRule>
    <cfRule type="expression" dxfId="58" priority="10">
      <formula>OR($A1="geopoint", $A1="geoshape", $A1="geotrace")</formula>
    </cfRule>
  </conditionalFormatting>
  <conditionalFormatting sqref="B57:C1048576 C1:C2 B1:B6 C4:C6 B9:C9 B11:C44">
    <cfRule type="expression" dxfId="57" priority="11">
      <formula>OR($A1="calculate", $A1="calculate_here")</formula>
    </cfRule>
  </conditionalFormatting>
  <conditionalFormatting sqref="B1:B6 B9 B57:B1048576 B11:B44">
    <cfRule type="expression" dxfId="56" priority="12">
      <formula>OR($A1="date", $A1="datetime")</formula>
    </cfRule>
  </conditionalFormatting>
  <conditionalFormatting sqref="C1:C2 A1:B6 C4:C6 A9:C9 A57:C1048576 A11:C44">
    <cfRule type="expression" dxfId="55" priority="13">
      <formula>OR($A1="date", $A1="datetime")</formula>
    </cfRule>
    <cfRule type="expression" dxfId="54" priority="14">
      <formula>OR($A1="calculate", $A1="calculate_here")</formula>
    </cfRule>
    <cfRule type="expression" dxfId="53" priority="15">
      <formula>$A1="note"</formula>
    </cfRule>
    <cfRule type="expression" dxfId="52" priority="16">
      <formula>$A1="barcode"</formula>
    </cfRule>
    <cfRule type="expression" dxfId="51" priority="17">
      <formula>OR($A1="geopoint", $A1="geoshape", $A1="geotrace")</formula>
    </cfRule>
    <cfRule type="expression" dxfId="50" priority="18">
      <formula>OR($A1="username", $A1="phonenumber", $A1="start", $A1="end", $A1="deviceid", $A1="subscriberid", $A1="simserial", $A1="caseid")</formula>
    </cfRule>
    <cfRule type="expression" dxfId="49" priority="19">
      <formula>OR(AND(LEFT($A1, 16)="select_multiple ", LEN($A1)&gt;16, NOT(ISNUMBER(SEARCH(" ", $A1, 17)))), AND(LEFT($A1, 11)="select_one ", LEN($A1)&gt;11, NOT(ISNUMBER(SEARCH(" ", $A1, 12)))))</formula>
    </cfRule>
    <cfRule type="expression" dxfId="48" priority="20">
      <formula>$A1="decimal"</formula>
    </cfRule>
    <cfRule type="expression" dxfId="47" priority="21">
      <formula>$A1="integer"</formula>
    </cfRule>
    <cfRule type="expression" dxfId="46" priority="22">
      <formula>$A1="text"</formula>
    </cfRule>
    <cfRule type="expression" dxfId="45" priority="23">
      <formula>$A1="end repeat"</formula>
    </cfRule>
    <cfRule type="expression" dxfId="44" priority="24">
      <formula>$A1="begin repeat"</formula>
    </cfRule>
    <cfRule type="expression" dxfId="43" priority="25">
      <formula>$A1="end group"</formula>
    </cfRule>
    <cfRule type="expression" dxfId="42" priority="26">
      <formula>$A1="begin group"</formula>
    </cfRule>
  </conditionalFormatting>
  <conditionalFormatting sqref="B1:B6 B9 B57:B1048576 B11:B44">
    <cfRule type="expression" dxfId="41" priority="27">
      <formula>$A1="comments"</formula>
    </cfRule>
  </conditionalFormatting>
  <conditionalFormatting sqref="B7:B8 B10 B45:B108">
    <cfRule type="expression" dxfId="40" priority="28">
      <formula>$A7="begin group"</formula>
    </cfRule>
  </conditionalFormatting>
  <conditionalFormatting sqref="B7:B8 B10 B45:B108">
    <cfRule type="expression" dxfId="39" priority="29">
      <formula>$A7="begin repeat"</formula>
    </cfRule>
  </conditionalFormatting>
  <conditionalFormatting sqref="B7:B8 B10 B45:B108">
    <cfRule type="expression" dxfId="38" priority="30">
      <formula>$A7="text"</formula>
    </cfRule>
  </conditionalFormatting>
  <conditionalFormatting sqref="B7:B8 B10 B45:B108">
    <cfRule type="expression" dxfId="37" priority="31">
      <formula>$A7="integer"</formula>
    </cfRule>
  </conditionalFormatting>
  <conditionalFormatting sqref="B7:B8 B10 B45:B108">
    <cfRule type="expression" dxfId="36" priority="32">
      <formula>$A7="decimal"</formula>
    </cfRule>
  </conditionalFormatting>
  <conditionalFormatting sqref="B7:B8 B10 B45:B108">
    <cfRule type="expression" dxfId="35" priority="33">
      <formula>OR(AND(LEFT($A7, 16)="select_multiple ", LEN($A7)&gt;16, NOT(ISNUMBER(SEARCH(" ", $A7, 17)))), AND(LEFT($A7, 11)="select_one ", LEN($A7)&gt;11, NOT(ISNUMBER(SEARCH(" ", $A7, 12)))))</formula>
    </cfRule>
  </conditionalFormatting>
  <conditionalFormatting sqref="B7:B8 B10 B45:B108">
    <cfRule type="expression" dxfId="34" priority="34">
      <formula>$A7="note"</formula>
    </cfRule>
    <cfRule type="expression" dxfId="33" priority="35">
      <formula>$A7="barcode"</formula>
    </cfRule>
    <cfRule type="expression" dxfId="32" priority="36">
      <formula>OR($A7="geopoint", $A7="geoshape", $A7="geotrace")</formula>
    </cfRule>
  </conditionalFormatting>
  <conditionalFormatting sqref="B45:C108 C3 B7:C8 B10:C10">
    <cfRule type="expression" dxfId="31" priority="37">
      <formula>OR(#REF!="calculate", #REF!="calculate_here")</formula>
    </cfRule>
  </conditionalFormatting>
  <conditionalFormatting sqref="B45:B55">
    <cfRule type="expression" dxfId="30" priority="38">
      <formula>OR(#REF!="date", #REF!="datetime")</formula>
    </cfRule>
  </conditionalFormatting>
  <conditionalFormatting sqref="A45:C55">
    <cfRule type="expression" dxfId="29" priority="39">
      <formula>OR(#REF!="date", #REF!="datetime")</formula>
    </cfRule>
    <cfRule type="expression" dxfId="28" priority="40">
      <formula>OR(#REF!="calculate", #REF!="calculate_here")</formula>
    </cfRule>
    <cfRule type="expression" dxfId="27" priority="41">
      <formula>#REF!="note"</formula>
    </cfRule>
    <cfRule type="expression" dxfId="26" priority="42">
      <formula>#REF!="barcode"</formula>
    </cfRule>
    <cfRule type="expression" dxfId="25" priority="43">
      <formula>OR(#REF!="geopoint", #REF!="geoshape", #REF!="geotrace")</formula>
    </cfRule>
    <cfRule type="expression" dxfId="24" priority="44">
      <formula>OR(#REF!="username", #REF!="phonenumber", #REF!="start", #REF!="end", #REF!="deviceid", #REF!="subscriberid", #REF!="simserial", #REF!="caseid")</formula>
    </cfRule>
    <cfRule type="expression" dxfId="23" priority="45">
      <formula>OR(AND(LEFT(#REF!, 16)="select_multiple ", LEN(#REF!)&gt;16, NOT(ISNUMBER(SEARCH(" ", #REF!, 17)))), AND(LEFT(#REF!, 11)="select_one ", LEN(#REF!)&gt;11, NOT(ISNUMBER(SEARCH(" ", #REF!, 12)))))</formula>
    </cfRule>
    <cfRule type="expression" dxfId="22" priority="46">
      <formula>#REF!="decimal"</formula>
    </cfRule>
    <cfRule type="expression" dxfId="21" priority="47">
      <formula>#REF!="integer"</formula>
    </cfRule>
    <cfRule type="expression" dxfId="20" priority="48">
      <formula>#REF!="text"</formula>
    </cfRule>
    <cfRule type="expression" dxfId="19" priority="49">
      <formula>#REF!="end repeat"</formula>
    </cfRule>
    <cfRule type="expression" dxfId="18" priority="50">
      <formula>#REF!="begin repeat"</formula>
    </cfRule>
    <cfRule type="expression" dxfId="17" priority="51">
      <formula>#REF!="end group"</formula>
    </cfRule>
    <cfRule type="expression" dxfId="16" priority="52">
      <formula>#REF!="begin group"</formula>
    </cfRule>
  </conditionalFormatting>
  <conditionalFormatting sqref="B7:B8 B10 B45:B108">
    <cfRule type="expression" dxfId="15" priority="53">
      <formula>$A7="comments"</formula>
    </cfRule>
  </conditionalFormatting>
  <conditionalFormatting sqref="C3 A7:C8 A10:C10 A56:C108">
    <cfRule type="expression" dxfId="14" priority="54">
      <formula>OR(#REF!="date", #REF!="datetime")</formula>
    </cfRule>
    <cfRule type="expression" dxfId="13" priority="55">
      <formula>OR(#REF!="calculate", #REF!="calculate_here")</formula>
    </cfRule>
    <cfRule type="expression" dxfId="12" priority="56">
      <formula>#REF!="note"</formula>
    </cfRule>
    <cfRule type="expression" dxfId="11" priority="57">
      <formula>#REF!="barcode"</formula>
    </cfRule>
    <cfRule type="expression" dxfId="10" priority="58">
      <formula>OR(#REF!="geopoint", #REF!="geoshape", #REF!="geotrace")</formula>
    </cfRule>
    <cfRule type="expression" dxfId="9" priority="59">
      <formula>OR(#REF!="username", #REF!="phonenumber", #REF!="start", #REF!="end", #REF!="deviceid", #REF!="subscriberid", #REF!="simserial", #REF!="caseid")</formula>
    </cfRule>
    <cfRule type="expression" dxfId="8" priority="60">
      <formula>OR(AND(LEFT(#REF!, 16)="select_multiple ", LEN(#REF!)&gt;16, NOT(ISNUMBER(SEARCH(" ", #REF!, 17)))), AND(LEFT(#REF!, 11)="select_one ", LEN(#REF!)&gt;11, NOT(ISNUMBER(SEARCH(" ", #REF!, 12)))))</formula>
    </cfRule>
    <cfRule type="expression" dxfId="7" priority="61">
      <formula>#REF!="decimal"</formula>
    </cfRule>
    <cfRule type="expression" dxfId="6" priority="62">
      <formula>#REF!="integer"</formula>
    </cfRule>
    <cfRule type="expression" dxfId="5" priority="63">
      <formula>#REF!="text"</formula>
    </cfRule>
    <cfRule type="expression" dxfId="4" priority="64">
      <formula>#REF!="end repeat"</formula>
    </cfRule>
    <cfRule type="expression" dxfId="3" priority="65">
      <formula>#REF!="begin repeat"</formula>
    </cfRule>
    <cfRule type="expression" dxfId="2" priority="66">
      <formula>#REF!="end group"</formula>
    </cfRule>
    <cfRule type="expression" dxfId="1" priority="67">
      <formula>#REF!="begin group"</formula>
    </cfRule>
  </conditionalFormatting>
  <conditionalFormatting sqref="B7:B8 B10 B56:B108">
    <cfRule type="expression" dxfId="0" priority="68">
      <formula>OR($A7="date", $A7="datetime")</formula>
    </cfRule>
  </conditionalFormatting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H1"/>
  <sheetViews>
    <sheetView zoomScale="75" zoomScaleNormal="75" workbookViewId="0">
      <selection activeCell="E21" sqref="E21"/>
    </sheetView>
  </sheetViews>
  <sheetFormatPr defaultColWidth="8.6640625" defaultRowHeight="15.5"/>
  <cols>
    <col min="6" max="6" width="51" style="4" customWidth="1"/>
    <col min="7" max="7" width="18.9140625" style="4" customWidth="1"/>
    <col min="8" max="8" width="17" style="4" customWidth="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zoomScale="75" zoomScaleNormal="75" workbookViewId="0">
      <selection activeCell="D3" sqref="D3"/>
    </sheetView>
  </sheetViews>
  <sheetFormatPr defaultColWidth="8.6640625" defaultRowHeight="15.5"/>
  <cols>
    <col min="1" max="1" width="24.4140625" style="4" customWidth="1"/>
    <col min="2" max="2" width="19.75" style="4" customWidth="1"/>
    <col min="3" max="3" width="15.5" style="4" customWidth="1"/>
  </cols>
  <sheetData>
    <row r="1" spans="1:5">
      <c r="A1" s="4" t="s">
        <v>204</v>
      </c>
      <c r="B1" s="4" t="s">
        <v>205</v>
      </c>
      <c r="C1" s="4" t="s">
        <v>206</v>
      </c>
      <c r="D1" s="4" t="s">
        <v>207</v>
      </c>
      <c r="E1" s="4" t="s">
        <v>208</v>
      </c>
    </row>
    <row r="2" spans="1:5">
      <c r="A2" s="4" t="s">
        <v>209</v>
      </c>
      <c r="B2" s="4" t="s">
        <v>210</v>
      </c>
      <c r="C2" s="5">
        <f ca="1">NOW()</f>
        <v>44882.73188634259</v>
      </c>
      <c r="D2" s="4" t="s">
        <v>211</v>
      </c>
      <c r="E2" s="4" t="s">
        <v>212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Marder</dc:creator>
  <dc:description/>
  <cp:lastModifiedBy>Luce MOSSELMANS</cp:lastModifiedBy>
  <cp:revision>164</cp:revision>
  <cp:lastPrinted>1601-01-01T00:00:00Z</cp:lastPrinted>
  <dcterms:created xsi:type="dcterms:W3CDTF">2011-04-25T12:27:36Z</dcterms:created>
  <dcterms:modified xsi:type="dcterms:W3CDTF">2022-11-17T16:34:18Z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